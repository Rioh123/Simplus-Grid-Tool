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HP\Desktop\Simplus-Grid-Tool-master-latest_version\Examples\阳光电源\单机系统\"/>
    </mc:Choice>
  </mc:AlternateContent>
  <xr:revisionPtr revIDLastSave="0" documentId="13_ncr:1_{7375C7E9-4FFA-4F2B-93B8-53CA5762E1BB}" xr6:coauthVersionLast="36" xr6:coauthVersionMax="36" xr10:uidLastSave="{00000000-0000-0000-0000-000000000000}"/>
  <bookViews>
    <workbookView xWindow="0" yWindow="0" windowWidth="17256" windowHeight="5076" activeTab="5" xr2:uid="{00000000-000D-0000-FFFF-FFFF00000000}"/>
  </bookViews>
  <sheets>
    <sheet name="Bus" sheetId="1" r:id="rId1"/>
    <sheet name="Apparatus" sheetId="2" r:id="rId2"/>
    <sheet name="NetworkLine_IEEE" sheetId="3" r:id="rId3"/>
    <sheet name="NetworkLine" sheetId="4" r:id="rId4"/>
    <sheet name="Basic" sheetId="5" r:id="rId5"/>
    <sheet name="Advance" sheetId="6" r:id="rId6"/>
  </sheets>
  <calcPr calcId="191029"/>
</workbook>
</file>

<file path=xl/calcChain.xml><?xml version="1.0" encoding="utf-8"?>
<calcChain xmlns="http://schemas.openxmlformats.org/spreadsheetml/2006/main">
  <c r="B3" i="5" l="1"/>
  <c r="D4" i="4"/>
  <c r="C4" i="4"/>
</calcChain>
</file>

<file path=xl/sharedStrings.xml><?xml version="1.0" encoding="utf-8"?>
<sst xmlns="http://schemas.openxmlformats.org/spreadsheetml/2006/main" count="76" uniqueCount="67">
  <si>
    <t>This sheet summarizes the parameters for power flow analysis</t>
  </si>
  <si>
    <t>Notes:</t>
  </si>
  <si>
    <t>Data:</t>
  </si>
  <si>
    <t>bus</t>
  </si>
  <si>
    <t>type</t>
  </si>
  <si>
    <t>Vsp</t>
  </si>
  <si>
    <t>theta</t>
  </si>
  <si>
    <t>PGi</t>
  </si>
  <si>
    <t>QGi</t>
  </si>
  <si>
    <t>PLi</t>
  </si>
  <si>
    <t>QLi</t>
  </si>
  <si>
    <t>Qmin</t>
  </si>
  <si>
    <t>Qmax</t>
  </si>
  <si>
    <t>Area No.</t>
  </si>
  <si>
    <t>AC or DC</t>
  </si>
  <si>
    <t>This sheet summarizes the apparatuses connected to buses.</t>
  </si>
  <si>
    <t>wLf</t>
  </si>
  <si>
    <t>Rf</t>
  </si>
  <si>
    <t>wCf</t>
  </si>
  <si>
    <t>Rd</t>
  </si>
  <si>
    <t>wLc</t>
  </si>
  <si>
    <t>Rc</t>
  </si>
  <si>
    <t>m</t>
  </si>
  <si>
    <t>f_power</t>
  </si>
  <si>
    <t>kp</t>
  </si>
  <si>
    <t>kpq</t>
  </si>
  <si>
    <t>kiq</t>
  </si>
  <si>
    <t>f_amp</t>
  </si>
  <si>
    <t>kpi</t>
  </si>
  <si>
    <t>kii</t>
  </si>
  <si>
    <t>miu</t>
  </si>
  <si>
    <t>Rv</t>
  </si>
  <si>
    <t>Xv</t>
  </si>
  <si>
    <t>bus number</t>
  </si>
  <si>
    <t>type number</t>
  </si>
  <si>
    <t>parameters</t>
  </si>
  <si>
    <t>This sheet summarizes the parameters for network line impedance in IEEE form.</t>
  </si>
  <si>
    <t>If using this sheet, please set enable from 0 to 1, then this sheet will over-write "NetworkLine"</t>
  </si>
  <si>
    <t>Enable:</t>
  </si>
  <si>
    <t>from bus</t>
  </si>
  <si>
    <t>to bus</t>
  </si>
  <si>
    <t>R (pu)</t>
  </si>
  <si>
    <t>X (pu)</t>
  </si>
  <si>
    <t>B/2 (pu)</t>
  </si>
  <si>
    <t>G/2 (pu)</t>
  </si>
  <si>
    <t>Turns Ratio</t>
  </si>
  <si>
    <t>This sheet summarizes the parameters for network line impedance.</t>
  </si>
  <si>
    <t>wL (pu)</t>
  </si>
  <si>
    <t>wC (pu)</t>
  </si>
  <si>
    <t>G (pu)</t>
  </si>
  <si>
    <t>Turns Ratio (pu)</t>
  </si>
  <si>
    <t>This sheet summarizes basic settings</t>
  </si>
  <si>
    <t>Samping frequency (Hz)</t>
  </si>
  <si>
    <t>Base Frequency (Hz)</t>
  </si>
  <si>
    <t>Base Power (VA)</t>
  </si>
  <si>
    <t>Base Voltage (V)</t>
  </si>
  <si>
    <t>This sheets summaries advanced settings for the toolbox</t>
  </si>
  <si>
    <t>Discretization Method</t>
  </si>
  <si>
    <t>Linearization Times</t>
  </si>
  <si>
    <t>Discre Damping Flag</t>
  </si>
  <si>
    <t>DirectFeedthrough</t>
  </si>
  <si>
    <t>Power Flow Algorithm</t>
  </si>
  <si>
    <t>Enable_SimulinkModel</t>
  </si>
  <si>
    <t>Enable_PlotPole</t>
  </si>
  <si>
    <t>Enable_PlotAdmittance</t>
  </si>
  <si>
    <t>Enable_PrintOutput</t>
  </si>
  <si>
    <t>Enable_Participation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</si>
</sst>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6" x14ac:knownFonts="1">
    <font>
      <sz val="11"/>
      <color theme="1"/>
      <name val="等线"/>
    </font>
    <font>
      <b/>
      <sz val="11"/>
      <color theme="1"/>
      <name val="等线"/>
      <family val="3"/>
      <charset val="134"/>
    </font>
    <font>
      <b/>
      <sz val="11"/>
      <name val="等线"/>
      <family val="3"/>
      <charset val="134"/>
    </font>
    <font>
      <sz val="11"/>
      <color theme="1"/>
      <name val="等线"/>
      <family val="3"/>
      <charset val="134"/>
    </font>
    <font>
      <sz val="9"/>
      <name val="宋体"/>
      <family val="3"/>
      <charset val="134"/>
    </font>
    <font>
      <sz val="11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1" fontId="0" fillId="0" borderId="0" xfId="0" applyNumberForma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/>
    <xf numFmtId="11" fontId="5" fillId="0" borderId="0" xfId="0" applyNumberFormat="1" applyFont="1"/>
    <xf numFmtId="0" fontId="5" fillId="0" borderId="0" xfId="0" applyFont="1"/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"/>
  <sheetViews>
    <sheetView workbookViewId="0"/>
  </sheetViews>
  <sheetFormatPr defaultRowHeight="13.8" x14ac:dyDescent="0.25"/>
  <sheetData>
    <row r="1" spans="1:12" x14ac:dyDescent="0.25">
      <c r="A1" s="3" t="s">
        <v>0</v>
      </c>
    </row>
    <row r="2" spans="1:12" x14ac:dyDescent="0.25">
      <c r="A2" s="3" t="s">
        <v>1</v>
      </c>
    </row>
    <row r="3" spans="1:12" x14ac:dyDescent="0.25">
      <c r="A3" s="3" t="s">
        <v>2</v>
      </c>
    </row>
    <row r="4" spans="1:12" x14ac:dyDescent="0.25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  <c r="I4" t="s">
        <v>11</v>
      </c>
      <c r="J4" t="s">
        <v>12</v>
      </c>
      <c r="K4" t="s">
        <v>13</v>
      </c>
      <c r="L4" t="s">
        <v>14</v>
      </c>
    </row>
    <row r="5" spans="1:12" x14ac:dyDescent="0.25">
      <c r="A5">
        <v>1</v>
      </c>
      <c r="B5">
        <v>1</v>
      </c>
      <c r="C5">
        <v>1</v>
      </c>
      <c r="D5">
        <v>0</v>
      </c>
      <c r="E5">
        <v>0</v>
      </c>
      <c r="F5">
        <v>0</v>
      </c>
      <c r="G5">
        <v>0</v>
      </c>
      <c r="H5">
        <v>0</v>
      </c>
      <c r="I5">
        <v>-999</v>
      </c>
      <c r="J5">
        <v>999</v>
      </c>
      <c r="K5">
        <v>1</v>
      </c>
      <c r="L5">
        <v>1</v>
      </c>
    </row>
    <row r="6" spans="1:12" x14ac:dyDescent="0.25">
      <c r="A6">
        <v>2</v>
      </c>
      <c r="B6">
        <v>3</v>
      </c>
      <c r="C6">
        <v>1</v>
      </c>
      <c r="D6">
        <v>0</v>
      </c>
      <c r="E6">
        <v>1</v>
      </c>
      <c r="F6">
        <v>0</v>
      </c>
      <c r="G6">
        <v>0</v>
      </c>
      <c r="H6">
        <v>0</v>
      </c>
      <c r="I6">
        <v>-999</v>
      </c>
      <c r="J6">
        <v>999</v>
      </c>
      <c r="K6">
        <v>1</v>
      </c>
      <c r="L6">
        <v>1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5"/>
  <sheetViews>
    <sheetView workbookViewId="0">
      <selection activeCell="E12" sqref="E12"/>
    </sheetView>
  </sheetViews>
  <sheetFormatPr defaultRowHeight="13.8" x14ac:dyDescent="0.25"/>
  <cols>
    <col min="1" max="1" width="10.6640625" style="5" customWidth="1"/>
    <col min="2" max="2" width="14.109375" style="5" customWidth="1"/>
    <col min="3" max="3" width="13.88671875" style="5" customWidth="1"/>
    <col min="4" max="4" width="8.88671875" style="5" customWidth="1"/>
    <col min="5" max="8" width="6.77734375" style="5" customWidth="1"/>
    <col min="9" max="9" width="13.44140625" style="5" customWidth="1"/>
    <col min="10" max="10" width="9.77734375" style="5" customWidth="1"/>
    <col min="11" max="11" width="8.77734375" style="5" customWidth="1"/>
    <col min="12" max="12" width="7.44140625" style="5" customWidth="1"/>
    <col min="13" max="13" width="8.21875" style="5" customWidth="1"/>
    <col min="14" max="19" width="6.77734375" style="5" customWidth="1"/>
  </cols>
  <sheetData>
    <row r="1" spans="1:19" x14ac:dyDescent="0.25">
      <c r="A1" s="2" t="s">
        <v>15</v>
      </c>
    </row>
    <row r="2" spans="1:19" x14ac:dyDescent="0.25">
      <c r="A2" s="2" t="s">
        <v>2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</row>
    <row r="3" spans="1:19" x14ac:dyDescent="0.25">
      <c r="A3" s="2" t="s">
        <v>33</v>
      </c>
      <c r="B3" s="2" t="s">
        <v>34</v>
      </c>
      <c r="C3" s="2" t="s">
        <v>35</v>
      </c>
    </row>
    <row r="4" spans="1:19" x14ac:dyDescent="0.25">
      <c r="A4">
        <v>1</v>
      </c>
      <c r="B4">
        <v>90</v>
      </c>
    </row>
    <row r="5" spans="1:19" x14ac:dyDescent="0.25">
      <c r="A5">
        <v>2</v>
      </c>
      <c r="B5">
        <v>80</v>
      </c>
      <c r="C5">
        <v>1.7319999999999999E-2</v>
      </c>
      <c r="D5">
        <v>2.2049999999999999E-3</v>
      </c>
      <c r="E5">
        <v>2.494E-2</v>
      </c>
      <c r="F5">
        <v>4.4110000000000003E-2</v>
      </c>
      <c r="G5">
        <v>1.663E-3</v>
      </c>
      <c r="H5">
        <v>0</v>
      </c>
      <c r="I5">
        <v>2.6700000000000002E-2</v>
      </c>
      <c r="J5">
        <v>25</v>
      </c>
      <c r="K5" s="6">
        <v>3.3535000000000003E-5</v>
      </c>
      <c r="L5" s="7">
        <v>0.14910000000000001</v>
      </c>
      <c r="M5" s="7">
        <v>9.5051000000000005</v>
      </c>
      <c r="N5" s="7">
        <v>15</v>
      </c>
      <c r="O5" s="7">
        <v>6.6159999999999997E-2</v>
      </c>
      <c r="P5" s="7">
        <v>1.5880000000000001</v>
      </c>
      <c r="Q5" s="7">
        <v>0.8</v>
      </c>
      <c r="R5" s="7">
        <v>4.411E-3</v>
      </c>
      <c r="S5" s="7">
        <v>0.27700000000000002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1"/>
  <sheetViews>
    <sheetView workbookViewId="0"/>
  </sheetViews>
  <sheetFormatPr defaultRowHeight="13.8" x14ac:dyDescent="0.25"/>
  <sheetData>
    <row r="1" spans="1:7" x14ac:dyDescent="0.25">
      <c r="A1" s="2" t="s">
        <v>36</v>
      </c>
    </row>
    <row r="2" spans="1:7" x14ac:dyDescent="0.25">
      <c r="A2" s="2" t="s">
        <v>1</v>
      </c>
    </row>
    <row r="3" spans="1:7" x14ac:dyDescent="0.25">
      <c r="A3" t="s">
        <v>37</v>
      </c>
    </row>
    <row r="4" spans="1:7" x14ac:dyDescent="0.25">
      <c r="A4" s="2" t="s">
        <v>38</v>
      </c>
    </row>
    <row r="5" spans="1:7" x14ac:dyDescent="0.25">
      <c r="A5" s="4">
        <v>0</v>
      </c>
    </row>
    <row r="6" spans="1:7" x14ac:dyDescent="0.25">
      <c r="A6" s="2" t="s">
        <v>2</v>
      </c>
    </row>
    <row r="7" spans="1:7" x14ac:dyDescent="0.25">
      <c r="A7" t="s">
        <v>39</v>
      </c>
      <c r="B7" t="s">
        <v>40</v>
      </c>
      <c r="C7" t="s">
        <v>41</v>
      </c>
      <c r="D7" t="s">
        <v>42</v>
      </c>
      <c r="E7" t="s">
        <v>43</v>
      </c>
      <c r="F7" t="s">
        <v>44</v>
      </c>
      <c r="G7" t="s">
        <v>45</v>
      </c>
    </row>
    <row r="8" spans="1:7" x14ac:dyDescent="0.25">
      <c r="E8" s="1"/>
    </row>
    <row r="9" spans="1:7" x14ac:dyDescent="0.25">
      <c r="E9" s="1"/>
    </row>
    <row r="10" spans="1:7" x14ac:dyDescent="0.25">
      <c r="E10" s="1"/>
    </row>
    <row r="11" spans="1:7" x14ac:dyDescent="0.25">
      <c r="E11" s="1"/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4"/>
  <sheetViews>
    <sheetView workbookViewId="0"/>
  </sheetViews>
  <sheetFormatPr defaultRowHeight="13.8" x14ac:dyDescent="0.25"/>
  <cols>
    <col min="7" max="7" width="14.77734375" style="5" customWidth="1"/>
  </cols>
  <sheetData>
    <row r="1" spans="1:7" x14ac:dyDescent="0.25">
      <c r="A1" s="2" t="s">
        <v>46</v>
      </c>
    </row>
    <row r="2" spans="1:7" x14ac:dyDescent="0.25">
      <c r="A2" s="2" t="s">
        <v>2</v>
      </c>
    </row>
    <row r="3" spans="1:7" x14ac:dyDescent="0.25">
      <c r="A3" t="s">
        <v>39</v>
      </c>
      <c r="B3" t="s">
        <v>40</v>
      </c>
      <c r="C3" t="s">
        <v>41</v>
      </c>
      <c r="D3" t="s">
        <v>47</v>
      </c>
      <c r="E3" t="s">
        <v>48</v>
      </c>
      <c r="F3" t="s">
        <v>49</v>
      </c>
      <c r="G3" t="s">
        <v>50</v>
      </c>
    </row>
    <row r="4" spans="1:7" x14ac:dyDescent="0.25">
      <c r="A4">
        <v>1</v>
      </c>
      <c r="B4">
        <v>2</v>
      </c>
      <c r="C4">
        <f>0.0227/2.2673</f>
        <v>1.0011908437348388E-2</v>
      </c>
      <c r="D4">
        <f>0.00072165*314/2.2673</f>
        <v>9.9941825078286944E-2</v>
      </c>
      <c r="E4">
        <v>0</v>
      </c>
      <c r="F4">
        <v>0</v>
      </c>
      <c r="G4">
        <v>1</v>
      </c>
    </row>
  </sheetData>
  <phoneticPr fontId="4" type="noConversion"/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6"/>
  <sheetViews>
    <sheetView workbookViewId="0">
      <selection activeCell="C14" sqref="C14"/>
    </sheetView>
  </sheetViews>
  <sheetFormatPr defaultRowHeight="13.8" x14ac:dyDescent="0.25"/>
  <cols>
    <col min="1" max="1" width="22" style="5" customWidth="1"/>
    <col min="2" max="2" width="18.44140625" style="5" customWidth="1"/>
    <col min="3" max="3" width="14.88671875" style="5" customWidth="1"/>
    <col min="4" max="4" width="15.77734375" style="5" customWidth="1"/>
  </cols>
  <sheetData>
    <row r="1" spans="1:2" x14ac:dyDescent="0.25">
      <c r="A1" s="2" t="s">
        <v>51</v>
      </c>
    </row>
    <row r="2" spans="1:2" x14ac:dyDescent="0.25">
      <c r="A2" s="2" t="s">
        <v>2</v>
      </c>
    </row>
    <row r="3" spans="1:2" x14ac:dyDescent="0.25">
      <c r="A3" s="4" t="s">
        <v>52</v>
      </c>
      <c r="B3" s="1">
        <f>12.5*1000</f>
        <v>12500</v>
      </c>
    </row>
    <row r="4" spans="1:2" x14ac:dyDescent="0.25">
      <c r="A4" t="s">
        <v>53</v>
      </c>
      <c r="B4" s="8">
        <v>50</v>
      </c>
    </row>
    <row r="5" spans="1:2" x14ac:dyDescent="0.25">
      <c r="A5" t="s">
        <v>54</v>
      </c>
      <c r="B5">
        <v>1</v>
      </c>
    </row>
    <row r="6" spans="1:2" x14ac:dyDescent="0.25">
      <c r="A6" t="s">
        <v>55</v>
      </c>
      <c r="B6">
        <v>1</v>
      </c>
    </row>
  </sheetData>
  <phoneticPr fontId="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2"/>
  <sheetViews>
    <sheetView tabSelected="1" workbookViewId="0">
      <selection activeCell="E21" sqref="E21"/>
    </sheetView>
  </sheetViews>
  <sheetFormatPr defaultRowHeight="13.8" x14ac:dyDescent="0.25"/>
  <cols>
    <col min="1" max="1" width="20.77734375" style="5" customWidth="1"/>
  </cols>
  <sheetData>
    <row r="1" spans="1:2" x14ac:dyDescent="0.25">
      <c r="A1" s="2" t="s">
        <v>56</v>
      </c>
    </row>
    <row r="2" spans="1:2" x14ac:dyDescent="0.25">
      <c r="A2" s="2" t="s">
        <v>2</v>
      </c>
    </row>
    <row r="3" spans="1:2" x14ac:dyDescent="0.25">
      <c r="A3" t="s">
        <v>57</v>
      </c>
      <c r="B3">
        <v>2</v>
      </c>
    </row>
    <row r="4" spans="1:2" x14ac:dyDescent="0.25">
      <c r="A4" t="s">
        <v>58</v>
      </c>
      <c r="B4">
        <v>1</v>
      </c>
    </row>
    <row r="5" spans="1:2" x14ac:dyDescent="0.25">
      <c r="A5" t="s">
        <v>59</v>
      </c>
      <c r="B5">
        <v>1</v>
      </c>
    </row>
    <row r="6" spans="1:2" x14ac:dyDescent="0.25">
      <c r="A6" t="s">
        <v>60</v>
      </c>
      <c r="B6">
        <v>0</v>
      </c>
    </row>
    <row r="7" spans="1:2" x14ac:dyDescent="0.25">
      <c r="A7" t="s">
        <v>61</v>
      </c>
      <c r="B7">
        <v>1</v>
      </c>
    </row>
    <row r="8" spans="1:2" x14ac:dyDescent="0.25">
      <c r="A8" t="s">
        <v>62</v>
      </c>
      <c r="B8">
        <v>1</v>
      </c>
    </row>
    <row r="9" spans="1:2" x14ac:dyDescent="0.25">
      <c r="A9" t="s">
        <v>63</v>
      </c>
      <c r="B9">
        <v>1</v>
      </c>
    </row>
    <row r="10" spans="1:2" x14ac:dyDescent="0.25">
      <c r="A10" t="s">
        <v>64</v>
      </c>
      <c r="B10">
        <v>1</v>
      </c>
    </row>
    <row r="11" spans="1:2" x14ac:dyDescent="0.25">
      <c r="A11" t="s">
        <v>65</v>
      </c>
      <c r="B11">
        <v>1</v>
      </c>
    </row>
    <row r="12" spans="1:2" x14ac:dyDescent="0.25">
      <c r="A12" t="s">
        <v>66</v>
      </c>
      <c r="B12">
        <v>0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Bus</vt:lpstr>
      <vt:lpstr>Apparatus</vt:lpstr>
      <vt:lpstr>NetworkLine_IEEE</vt:lpstr>
      <vt:lpstr>NetworkLine</vt:lpstr>
      <vt:lpstr>Basic</vt:lpstr>
      <vt:lpstr>Advance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Wanjun Gao</cp:lastModifiedBy>
  <dcterms:created xsi:type="dcterms:W3CDTF">2026-10-14T11:37:45Z</dcterms:created>
  <dcterms:modified xsi:type="dcterms:W3CDTF">2026-10-20T08:13:46Z</dcterms:modified>
</cp:coreProperties>
</file>