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Simplus-Grid-Tool-master-latest_version\Examples\AcPowerSystem\PNSequenceControl_SingleBus＆4Bus\"/>
    </mc:Choice>
  </mc:AlternateContent>
  <xr:revisionPtr revIDLastSave="0" documentId="13_ncr:1_{B26351AC-A0DA-42D0-9F1E-BA9B2A13E1F7}" xr6:coauthVersionLast="36" xr6:coauthVersionMax="36" xr10:uidLastSave="{00000000-0000-0000-0000-000000000000}"/>
  <bookViews>
    <workbookView xWindow="-96" yWindow="-96" windowWidth="19392" windowHeight="10392" xr2:uid="{00000000-000D-0000-FFFF-FFFF00000000}"/>
  </bookViews>
  <sheets>
    <sheet name="Bus" sheetId="1" r:id="rId1"/>
    <sheet name="Apparatus" sheetId="2" r:id="rId2"/>
    <sheet name="NetworkLine_IEEE" sheetId="3" r:id="rId3"/>
    <sheet name="NetworkLine" sheetId="4" r:id="rId4"/>
    <sheet name="Basic" sheetId="5" r:id="rId5"/>
    <sheet name="Advance" sheetId="6" r:id="rId6"/>
  </sheets>
  <calcPr calcId="191029"/>
</workbook>
</file>

<file path=xl/calcChain.xml><?xml version="1.0" encoding="utf-8"?>
<calcChain xmlns="http://schemas.openxmlformats.org/spreadsheetml/2006/main">
  <c r="Q5" i="2" l="1"/>
  <c r="B3" i="5" l="1"/>
  <c r="D4" i="4"/>
  <c r="C4" i="4"/>
</calcChain>
</file>

<file path=xl/sharedStrings.xml><?xml version="1.0" encoding="utf-8"?>
<sst xmlns="http://schemas.openxmlformats.org/spreadsheetml/2006/main" count="74" uniqueCount="65">
  <si>
    <t>This sheet summarizes the parameters for power flow analysis</t>
  </si>
  <si>
    <t>Notes:</t>
  </si>
  <si>
    <t>Data:</t>
  </si>
  <si>
    <t>bus</t>
  </si>
  <si>
    <t>type</t>
  </si>
  <si>
    <t>Vsp</t>
  </si>
  <si>
    <t>theta</t>
  </si>
  <si>
    <t>PGi</t>
  </si>
  <si>
    <t>QGi</t>
  </si>
  <si>
    <t>PLi</t>
  </si>
  <si>
    <t>QLi</t>
  </si>
  <si>
    <t>Qmin</t>
  </si>
  <si>
    <t>Qmax</t>
  </si>
  <si>
    <t>Area No.</t>
  </si>
  <si>
    <t>AC or DC</t>
  </si>
  <si>
    <t>This sheet summarizes the apparatuses connected to buses.</t>
  </si>
  <si>
    <t>wLf</t>
  </si>
  <si>
    <t>Rf</t>
  </si>
  <si>
    <t>wCf</t>
  </si>
  <si>
    <t>Rd</t>
  </si>
  <si>
    <t>wLc</t>
  </si>
  <si>
    <t>Rc</t>
  </si>
  <si>
    <t>kp</t>
  </si>
  <si>
    <t>ki</t>
  </si>
  <si>
    <t>kp_pll</t>
  </si>
  <si>
    <t>ki_pll</t>
  </si>
  <si>
    <t>kpi_p</t>
  </si>
  <si>
    <t>kii_p</t>
  </si>
  <si>
    <t>kpi_n</t>
  </si>
  <si>
    <t>kii_n</t>
  </si>
  <si>
    <t>bus number</t>
  </si>
  <si>
    <t>type number</t>
  </si>
  <si>
    <t>parameters</t>
  </si>
  <si>
    <t>This sheet summarizes the parameters for network line impedance in IEEE form.</t>
  </si>
  <si>
    <t>If using this sheet, please set enable from 0 to 1, then this sheet will over-write "NetworkLine"</t>
  </si>
  <si>
    <t>Enable:</t>
  </si>
  <si>
    <t>from bus</t>
  </si>
  <si>
    <t>to bus</t>
  </si>
  <si>
    <t>R (pu)</t>
  </si>
  <si>
    <t>X (pu)</t>
  </si>
  <si>
    <t>B/2 (pu)</t>
  </si>
  <si>
    <t>G/2 (pu)</t>
  </si>
  <si>
    <t>Turns Ratio</t>
  </si>
  <si>
    <t>This sheet summarizes the parameters for network line impedance.</t>
  </si>
  <si>
    <t>wL (pu)</t>
  </si>
  <si>
    <t>wC (pu)</t>
  </si>
  <si>
    <t>G (pu)</t>
  </si>
  <si>
    <t>Turns Ratio (pu)</t>
  </si>
  <si>
    <t>This sheet summarizes basic settings</t>
  </si>
  <si>
    <t>Samping frequency (Hz)</t>
  </si>
  <si>
    <t>Base Frequency (Hz)</t>
  </si>
  <si>
    <t>Base Power (VA)</t>
  </si>
  <si>
    <t>Base Voltage (V)</t>
  </si>
  <si>
    <t>This sheets summaries advanced settings for the toolbox</t>
  </si>
  <si>
    <t>Discretization Method</t>
  </si>
  <si>
    <t>Linearization Times</t>
  </si>
  <si>
    <t>Discre Damping Flag</t>
  </si>
  <si>
    <t>DirectFeedthrough</t>
  </si>
  <si>
    <t>Power Flow Algorithm</t>
  </si>
  <si>
    <t>Enable_SimulinkModel</t>
  </si>
  <si>
    <t>Enable_PlotPole</t>
  </si>
  <si>
    <t>Enable_PlotAdmittance</t>
  </si>
  <si>
    <t>Enable_PrintOutput</t>
  </si>
  <si>
    <t>Enable_Participation</t>
  </si>
  <si>
    <t>f_pll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</si>
</sst>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/>
    <xf numFmtId="0" fontId="5" fillId="0" borderId="0" xfId="0" applyFont="1"/>
    <xf numFmtId="11" fontId="0" fillId="0" borderId="0" xfId="0" applyNumberFormat="1"/>
    <xf numFmtId="176" fontId="0" fillId="0" borderId="0" xfId="0" applyNumberFormat="1"/>
    <xf numFmtId="11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abSelected="1" topLeftCell="A2" workbookViewId="0">
      <selection activeCell="G35" sqref="G35"/>
    </sheetView>
  </sheetViews>
  <sheetFormatPr defaultRowHeight="13.8" x14ac:dyDescent="0.25"/>
  <sheetData>
    <row r="1" spans="1:12" x14ac:dyDescent="0.25">
      <c r="A1" s="2" t="s">
        <v>0</v>
      </c>
    </row>
    <row r="2" spans="1:12" x14ac:dyDescent="0.25">
      <c r="A2" s="2" t="s">
        <v>1</v>
      </c>
    </row>
    <row r="3" spans="1:12" x14ac:dyDescent="0.25">
      <c r="A3" s="2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-999</v>
      </c>
      <c r="J5">
        <v>999</v>
      </c>
      <c r="K5">
        <v>1</v>
      </c>
      <c r="L5">
        <v>1</v>
      </c>
    </row>
    <row r="6" spans="1:12" x14ac:dyDescent="0.25">
      <c r="A6">
        <v>2</v>
      </c>
      <c r="B6">
        <v>2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-999</v>
      </c>
      <c r="J6">
        <v>999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5"/>
  <sheetViews>
    <sheetView topLeftCell="A2" zoomScaleNormal="100" workbookViewId="0">
      <selection activeCell="D45" sqref="D44:D45"/>
    </sheetView>
  </sheetViews>
  <sheetFormatPr defaultRowHeight="13.8" x14ac:dyDescent="0.25"/>
  <cols>
    <col min="1" max="1" width="10.6640625" style="5" customWidth="1"/>
    <col min="2" max="2" width="31.44140625" style="5" customWidth="1"/>
    <col min="3" max="3" width="26" style="5" customWidth="1"/>
    <col min="4" max="8" width="6.77734375" style="5" customWidth="1"/>
    <col min="9" max="9" width="9.44140625" style="5" customWidth="1"/>
    <col min="10" max="10" width="9.77734375" style="5" customWidth="1"/>
    <col min="11" max="11" width="16" style="5" customWidth="1"/>
    <col min="12" max="12" width="7.44140625" style="5" customWidth="1"/>
    <col min="13" max="13" width="8.21875" style="5" customWidth="1"/>
    <col min="14" max="19" width="6.77734375" style="5" customWidth="1"/>
  </cols>
  <sheetData>
    <row r="1" spans="1:19" x14ac:dyDescent="0.25">
      <c r="A1" s="1" t="s">
        <v>15</v>
      </c>
    </row>
    <row r="2" spans="1:19" x14ac:dyDescent="0.25">
      <c r="A2" s="1" t="s">
        <v>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64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9" x14ac:dyDescent="0.25">
      <c r="A3" s="1" t="s">
        <v>30</v>
      </c>
      <c r="B3" s="1" t="s">
        <v>31</v>
      </c>
      <c r="C3" s="1" t="s">
        <v>32</v>
      </c>
    </row>
    <row r="4" spans="1:19" x14ac:dyDescent="0.25">
      <c r="A4">
        <v>1</v>
      </c>
      <c r="B4">
        <v>90</v>
      </c>
      <c r="S4" s="6"/>
    </row>
    <row r="5" spans="1:19" x14ac:dyDescent="0.25">
      <c r="A5">
        <v>2</v>
      </c>
      <c r="B5">
        <v>70</v>
      </c>
      <c r="C5">
        <v>1.7299999999999999E-2</v>
      </c>
      <c r="D5">
        <v>2.2054190296159999E-3</v>
      </c>
      <c r="E5">
        <v>2.4899999999999999E-2</v>
      </c>
      <c r="F5">
        <v>4.4108380592313E-2</v>
      </c>
      <c r="G5" s="4">
        <v>1.6999999999999999E-3</v>
      </c>
      <c r="H5">
        <v>0</v>
      </c>
      <c r="I5">
        <v>25</v>
      </c>
      <c r="J5">
        <v>0.27600000000000002</v>
      </c>
      <c r="K5" s="9">
        <v>17.25</v>
      </c>
      <c r="L5">
        <v>89.7</v>
      </c>
      <c r="M5">
        <v>2070</v>
      </c>
      <c r="N5" s="5">
        <v>0.44108380592312502</v>
      </c>
      <c r="O5">
        <v>15.4379332073093</v>
      </c>
      <c r="P5">
        <v>0.44108380592312502</v>
      </c>
      <c r="Q5">
        <f>11.0270951480781*2</f>
        <v>22.0541902961562</v>
      </c>
      <c r="S5" s="6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workbookViewId="0">
      <selection activeCell="C29" sqref="C29"/>
    </sheetView>
  </sheetViews>
  <sheetFormatPr defaultRowHeight="13.8" x14ac:dyDescent="0.25"/>
  <sheetData>
    <row r="1" spans="1:7" x14ac:dyDescent="0.25">
      <c r="A1" s="1" t="s">
        <v>33</v>
      </c>
    </row>
    <row r="2" spans="1:7" x14ac:dyDescent="0.25">
      <c r="A2" s="1" t="s">
        <v>1</v>
      </c>
    </row>
    <row r="3" spans="1:7" x14ac:dyDescent="0.25">
      <c r="A3" t="s">
        <v>34</v>
      </c>
    </row>
    <row r="4" spans="1:7" x14ac:dyDescent="0.25">
      <c r="A4" s="1" t="s">
        <v>35</v>
      </c>
    </row>
    <row r="5" spans="1:7" x14ac:dyDescent="0.25">
      <c r="A5" s="3">
        <v>0</v>
      </c>
    </row>
    <row r="6" spans="1:7" x14ac:dyDescent="0.25">
      <c r="A6" s="1" t="s">
        <v>2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E8" s="7"/>
    </row>
    <row r="9" spans="1:7" x14ac:dyDescent="0.25">
      <c r="E9" s="7"/>
    </row>
    <row r="10" spans="1:7" x14ac:dyDescent="0.25">
      <c r="E10" s="7"/>
    </row>
    <row r="11" spans="1:7" x14ac:dyDescent="0.25">
      <c r="E11" s="7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"/>
  <sheetViews>
    <sheetView zoomScaleNormal="100" workbookViewId="0">
      <selection activeCell="E12" sqref="E12"/>
    </sheetView>
  </sheetViews>
  <sheetFormatPr defaultRowHeight="13.8" x14ac:dyDescent="0.25"/>
  <cols>
    <col min="7" max="7" width="14.77734375" style="5" customWidth="1"/>
  </cols>
  <sheetData>
    <row r="1" spans="1:7" x14ac:dyDescent="0.25">
      <c r="A1" s="1" t="s">
        <v>43</v>
      </c>
    </row>
    <row r="2" spans="1:7" x14ac:dyDescent="0.25">
      <c r="A2" s="1" t="s">
        <v>2</v>
      </c>
    </row>
    <row r="3" spans="1:7" x14ac:dyDescent="0.25">
      <c r="A3" t="s">
        <v>36</v>
      </c>
      <c r="B3" t="s">
        <v>37</v>
      </c>
      <c r="C3" t="s">
        <v>38</v>
      </c>
      <c r="D3" t="s">
        <v>44</v>
      </c>
      <c r="E3" t="s">
        <v>45</v>
      </c>
      <c r="F3" t="s">
        <v>46</v>
      </c>
      <c r="G3" t="s">
        <v>47</v>
      </c>
    </row>
    <row r="4" spans="1:7" x14ac:dyDescent="0.25">
      <c r="A4">
        <v>1</v>
      </c>
      <c r="B4">
        <v>2</v>
      </c>
      <c r="C4">
        <f>0.0227/2.2673</f>
        <v>1.0011908437348388E-2</v>
      </c>
      <c r="D4">
        <f>0.00072165*314/2.2673</f>
        <v>9.9941825078286944E-2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6"/>
  <sheetViews>
    <sheetView workbookViewId="0">
      <selection activeCell="C18" sqref="C18"/>
    </sheetView>
  </sheetViews>
  <sheetFormatPr defaultRowHeight="13.8" x14ac:dyDescent="0.25"/>
  <cols>
    <col min="1" max="1" width="22" style="5" customWidth="1"/>
    <col min="2" max="2" width="18.44140625" style="5" customWidth="1"/>
    <col min="3" max="3" width="14.88671875" style="5" customWidth="1"/>
    <col min="4" max="4" width="15.77734375" style="5" customWidth="1"/>
  </cols>
  <sheetData>
    <row r="1" spans="1:2" x14ac:dyDescent="0.25">
      <c r="A1" s="1" t="s">
        <v>48</v>
      </c>
    </row>
    <row r="2" spans="1:2" x14ac:dyDescent="0.25">
      <c r="A2" s="1" t="s">
        <v>2</v>
      </c>
    </row>
    <row r="3" spans="1:2" x14ac:dyDescent="0.25">
      <c r="A3" s="3" t="s">
        <v>49</v>
      </c>
      <c r="B3" s="7">
        <f>12.5*1000</f>
        <v>12500</v>
      </c>
    </row>
    <row r="4" spans="1:2" x14ac:dyDescent="0.25">
      <c r="A4" t="s">
        <v>50</v>
      </c>
      <c r="B4" s="8">
        <v>50</v>
      </c>
    </row>
    <row r="5" spans="1:2" x14ac:dyDescent="0.25">
      <c r="A5" t="s">
        <v>51</v>
      </c>
      <c r="B5">
        <v>1</v>
      </c>
    </row>
    <row r="6" spans="1:2" x14ac:dyDescent="0.25">
      <c r="A6" t="s">
        <v>52</v>
      </c>
      <c r="B6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2"/>
  <sheetViews>
    <sheetView workbookViewId="0">
      <selection activeCell="G22" sqref="G22"/>
    </sheetView>
  </sheetViews>
  <sheetFormatPr defaultRowHeight="13.8" x14ac:dyDescent="0.25"/>
  <cols>
    <col min="1" max="1" width="20.77734375" style="5" customWidth="1"/>
  </cols>
  <sheetData>
    <row r="1" spans="1:2" x14ac:dyDescent="0.25">
      <c r="A1" s="1" t="s">
        <v>53</v>
      </c>
    </row>
    <row r="2" spans="1:2" x14ac:dyDescent="0.25">
      <c r="A2" s="1" t="s">
        <v>2</v>
      </c>
    </row>
    <row r="3" spans="1:2" x14ac:dyDescent="0.25">
      <c r="A3" t="s">
        <v>54</v>
      </c>
      <c r="B3">
        <v>2</v>
      </c>
    </row>
    <row r="4" spans="1:2" x14ac:dyDescent="0.25">
      <c r="A4" t="s">
        <v>55</v>
      </c>
      <c r="B4">
        <v>1</v>
      </c>
    </row>
    <row r="5" spans="1:2" x14ac:dyDescent="0.25">
      <c r="A5" t="s">
        <v>56</v>
      </c>
      <c r="B5">
        <v>1</v>
      </c>
    </row>
    <row r="6" spans="1:2" x14ac:dyDescent="0.25">
      <c r="A6" t="s">
        <v>57</v>
      </c>
      <c r="B6">
        <v>0</v>
      </c>
    </row>
    <row r="7" spans="1:2" x14ac:dyDescent="0.25">
      <c r="A7" t="s">
        <v>58</v>
      </c>
      <c r="B7">
        <v>1</v>
      </c>
    </row>
    <row r="8" spans="1:2" x14ac:dyDescent="0.25">
      <c r="A8" t="s">
        <v>59</v>
      </c>
      <c r="B8">
        <v>1</v>
      </c>
    </row>
    <row r="9" spans="1:2" x14ac:dyDescent="0.25">
      <c r="A9" t="s">
        <v>60</v>
      </c>
      <c r="B9">
        <v>1</v>
      </c>
    </row>
    <row r="10" spans="1:2" x14ac:dyDescent="0.25">
      <c r="A10" t="s">
        <v>61</v>
      </c>
      <c r="B10">
        <v>1</v>
      </c>
    </row>
    <row r="11" spans="1:2" x14ac:dyDescent="0.25">
      <c r="A11" t="s">
        <v>62</v>
      </c>
      <c r="B11">
        <v>1</v>
      </c>
    </row>
    <row r="12" spans="1:2" x14ac:dyDescent="0.25">
      <c r="A12" t="s">
        <v>63</v>
      </c>
      <c r="B12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Wanjun Gao</cp:lastModifiedBy>
  <dcterms:created xsi:type="dcterms:W3CDTF">2015-06-05T18:17:20Z</dcterms:created>
  <dcterms:modified xsi:type="dcterms:W3CDTF">2026-10-25T06:43:52Z</dcterms:modified>
</cp:coreProperties>
</file>